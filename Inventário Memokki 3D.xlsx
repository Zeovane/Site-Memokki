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Geral" sheetId="1" r:id="rId5"/>
    <sheet state="visible" name="Gastos" sheetId="2" r:id="rId6"/>
    <sheet state="visible" name="BTS" sheetId="3" r:id="rId7"/>
    <sheet state="visible" name="Outros" sheetId="4" r:id="rId8"/>
  </sheets>
  <definedNames/>
  <calcPr/>
</workbook>
</file>

<file path=xl/sharedStrings.xml><?xml version="1.0" encoding="utf-8"?>
<sst xmlns="http://schemas.openxmlformats.org/spreadsheetml/2006/main" count="112" uniqueCount="74">
  <si>
    <t>Setor</t>
  </si>
  <si>
    <t>Total</t>
  </si>
  <si>
    <t>Despesas</t>
  </si>
  <si>
    <t>Valor</t>
  </si>
  <si>
    <t>Lucro Total</t>
  </si>
  <si>
    <t>BTS</t>
  </si>
  <si>
    <t>Filamento</t>
  </si>
  <si>
    <t>OUTROS</t>
  </si>
  <si>
    <t>Outros</t>
  </si>
  <si>
    <t>Mês</t>
  </si>
  <si>
    <t>Parcela</t>
  </si>
  <si>
    <t>Cor</t>
  </si>
  <si>
    <t>Fonte</t>
  </si>
  <si>
    <t>Coluna 4</t>
  </si>
  <si>
    <t>abril</t>
  </si>
  <si>
    <t>Preto</t>
  </si>
  <si>
    <t>Voltz</t>
  </si>
  <si>
    <t>Temos</t>
  </si>
  <si>
    <t>maio</t>
  </si>
  <si>
    <t>Branco</t>
  </si>
  <si>
    <t>Acabou</t>
  </si>
  <si>
    <t>junho</t>
  </si>
  <si>
    <t>Cinza</t>
  </si>
  <si>
    <t>julho</t>
  </si>
  <si>
    <t>Vermelho</t>
  </si>
  <si>
    <t>agosto</t>
  </si>
  <si>
    <t>Amarelo</t>
  </si>
  <si>
    <t>setembro</t>
  </si>
  <si>
    <t>Rosa (Claro)</t>
  </si>
  <si>
    <t>outubro</t>
  </si>
  <si>
    <t>Roxo (Claro)</t>
  </si>
  <si>
    <t>novembro</t>
  </si>
  <si>
    <t>Ciano</t>
  </si>
  <si>
    <t>dezembro</t>
  </si>
  <si>
    <t>Bege</t>
  </si>
  <si>
    <t>janeiro</t>
  </si>
  <si>
    <t>Marrom</t>
  </si>
  <si>
    <t>fevereiro</t>
  </si>
  <si>
    <t>National</t>
  </si>
  <si>
    <t>março</t>
  </si>
  <si>
    <t>Personagem</t>
  </si>
  <si>
    <t>Min.</t>
  </si>
  <si>
    <t>Custo (R$)</t>
  </si>
  <si>
    <t>Venda (R$)</t>
  </si>
  <si>
    <t>Data de Entrada</t>
  </si>
  <si>
    <t>Saída</t>
  </si>
  <si>
    <t>Em estoque</t>
  </si>
  <si>
    <t>Última Atualização</t>
  </si>
  <si>
    <t>Lucro</t>
  </si>
  <si>
    <t>Mang Chaveiro</t>
  </si>
  <si>
    <t>Mang Clicker</t>
  </si>
  <si>
    <t>Tata Chaveiro</t>
  </si>
  <si>
    <t>Tata Clicker</t>
  </si>
  <si>
    <t>Chimmy Chaveiro</t>
  </si>
  <si>
    <t>Chimmy Clicker</t>
  </si>
  <si>
    <t>Cooky chaveiro</t>
  </si>
  <si>
    <t>Cooky Clicker</t>
  </si>
  <si>
    <t>RJ Chaveiro</t>
  </si>
  <si>
    <t>RJ Clicker</t>
  </si>
  <si>
    <t>Koya Chaveiro</t>
  </si>
  <si>
    <t>Koya Clicker</t>
  </si>
  <si>
    <t>Van Chaveiro</t>
  </si>
  <si>
    <t>Van Clicker</t>
  </si>
  <si>
    <t>Shooky Chaveiro</t>
  </si>
  <si>
    <t>Shooky Clicker</t>
  </si>
  <si>
    <t>Mini Arirang</t>
  </si>
  <si>
    <t>Ret. Arirang</t>
  </si>
  <si>
    <t>Holder Arirang</t>
  </si>
  <si>
    <t>Encomenda</t>
  </si>
  <si>
    <t>---</t>
  </si>
  <si>
    <t>Patinha Preta</t>
  </si>
  <si>
    <t>Patinha Branca</t>
  </si>
  <si>
    <t>Holder Mesa</t>
  </si>
  <si>
    <t>Chaveiros Logo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</si>
</sst>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6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rimson Text"/>
    </font>
    <font>
      <sz val="12.0"/>
      <color theme="1"/>
      <name val="Inherit"/>
    </font>
    <font>
      <sz val="12.0"/>
      <color rgb="FF434343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2" numFmtId="164" xfId="0" applyFont="1" applyNumberFormat="1"/>
    <xf borderId="0" fillId="5" fontId="2" numFmtId="164" xfId="0" applyFont="1" applyNumberFormat="1"/>
    <xf borderId="0" fillId="5" fontId="2" numFmtId="164" xfId="0" applyAlignment="1" applyFont="1" applyNumberFormat="1">
      <alignment readingOrder="0"/>
    </xf>
    <xf borderId="0" fillId="5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readingOrder="0" shrinkToFit="0" vertical="center" wrapText="0"/>
    </xf>
    <xf borderId="0" fillId="6" fontId="2" numFmtId="164" xfId="0" applyAlignment="1" applyFill="1" applyFont="1" applyNumberForma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164" xfId="0" applyFont="1" applyNumberFormat="1"/>
    <xf borderId="0" fillId="7" fontId="2" numFmtId="164" xfId="0" applyAlignment="1" applyFill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8" fontId="5" numFmtId="0" xfId="0" applyAlignment="1" applyBorder="1" applyFill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2" fillId="9" fontId="5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164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</dxfs>
  <tableStyles count="4">
    <tableStyle count="4" pivot="0" name="Gas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utro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16" displayName="A1_Mini" name="A1_Mini" id="1">
  <tableColumns count="2">
    <tableColumn name="Mês" id="1"/>
    <tableColumn name="Parcela" id="2"/>
  </tableColumns>
  <tableStyleInfo name="Gastos-style" showColumnStripes="0" showFirstColumn="1" showLastColumn="1" showRowStripes="1"/>
</table>
</file>

<file path=xl/tables/table2.xml><?xml version="1.0" encoding="utf-8"?>
<table xmlns="http://schemas.openxmlformats.org/spreadsheetml/2006/main" ref="D3:G16" displayName="Filamentos" name="Filamentos" id="2">
  <tableColumns count="4">
    <tableColumn name="Cor" id="1"/>
    <tableColumn name="Fonte" id="2"/>
    <tableColumn name="Valor" id="3"/>
    <tableColumn name="Coluna 4" id="4"/>
  </tableColumns>
  <tableStyleInfo name="Gastos-style 2" showColumnStripes="0" showFirstColumn="1" showLastColumn="1" showRowStripes="1"/>
</table>
</file>

<file path=xl/tables/table3.xml><?xml version="1.0" encoding="utf-8"?>
<table xmlns="http://schemas.openxmlformats.org/spreadsheetml/2006/main" ref="A1:J22" displayName="BT_21" name="BT_21" id="3">
  <tableColumns count="10">
    <tableColumn name="Personagem" id="1"/>
    <tableColumn name="Min." id="2"/>
    <tableColumn name="Custo (R$)" id="3"/>
    <tableColumn name="Venda (R$)" id="4"/>
    <tableColumn name="Data de Entrada" id="5"/>
    <tableColumn name="Total" id="6"/>
    <tableColumn name="Saída" id="7"/>
    <tableColumn name="Em estoque" id="8"/>
    <tableColumn name="Última Atualização" id="9"/>
    <tableColumn name="Lucro" id="10"/>
  </tableColumns>
  <tableStyleInfo name="BTS-style" showColumnStripes="0" showFirstColumn="1" showLastColumn="1" showRowStripes="1"/>
</table>
</file>

<file path=xl/tables/table4.xml><?xml version="1.0" encoding="utf-8"?>
<table xmlns="http://schemas.openxmlformats.org/spreadsheetml/2006/main" ref="A1:J17" displayName="Outros_3D" name="Outros_3D" id="4">
  <tableColumns count="10">
    <tableColumn name="Personagem" id="1"/>
    <tableColumn name="Min." id="2"/>
    <tableColumn name="Custo (R$)" id="3"/>
    <tableColumn name="Venda (R$)" id="4"/>
    <tableColumn name="Data de Entrada" id="5"/>
    <tableColumn name="Total" id="6"/>
    <tableColumn name="Saída" id="7"/>
    <tableColumn name="Em estoque" id="8"/>
    <tableColumn name="Última Atualização" id="9"/>
    <tableColumn name="Lucro" id="10"/>
  </tableColumns>
  <tableStyleInfo name="Ou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">
        <v>0</v>
      </c>
      <c r="B2" s="1" t="s">
        <v>1</v>
      </c>
      <c r="C2" s="2"/>
      <c r="D2" s="3" t="s">
        <v>2</v>
      </c>
      <c r="E2" s="4" t="s">
        <v>3</v>
      </c>
      <c r="F2" s="2"/>
      <c r="G2" s="2"/>
      <c r="H2" s="5" t="s">
        <v>4</v>
      </c>
    </row>
    <row r="3">
      <c r="A3" s="6" t="s">
        <v>5</v>
      </c>
      <c r="B3" s="7">
        <f>SUM(BTS!J2:J1000)</f>
        <v>306.4</v>
      </c>
      <c r="D3" s="6" t="s">
        <v>6</v>
      </c>
      <c r="E3" s="8">
        <f>SUM(Gastos!F3:F1000)</f>
        <v>1180</v>
      </c>
      <c r="H3" s="9">
        <f>SUM(B3:B1000) - (E3:E1000)</f>
        <v>-207.6</v>
      </c>
    </row>
    <row r="4">
      <c r="A4" s="6" t="s">
        <v>7</v>
      </c>
      <c r="B4" s="7">
        <f>SUM(Outros!J2:J1000)</f>
        <v>666</v>
      </c>
      <c r="D4" s="6" t="s">
        <v>8</v>
      </c>
      <c r="E4" s="8">
        <f>SUM(Gastos!B3:B1000)</f>
        <v>1560</v>
      </c>
      <c r="H4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  <col customWidth="1" min="5" max="5" width="18.14"/>
    <col customWidth="1" min="6" max="6" width="14.86"/>
    <col customWidth="1" min="7" max="7" width="18.14"/>
  </cols>
  <sheetData>
    <row r="3" ht="22.5" customHeight="1">
      <c r="A3" s="11" t="s">
        <v>9</v>
      </c>
      <c r="B3" s="11" t="s">
        <v>10</v>
      </c>
      <c r="D3" s="11" t="s">
        <v>11</v>
      </c>
      <c r="E3" s="11" t="s">
        <v>12</v>
      </c>
      <c r="F3" s="11" t="s">
        <v>3</v>
      </c>
      <c r="G3" s="11" t="s">
        <v>13</v>
      </c>
      <c r="I3" s="12" t="s">
        <v>1</v>
      </c>
    </row>
    <row r="4" ht="22.5" customHeight="1">
      <c r="A4" s="13" t="s">
        <v>14</v>
      </c>
      <c r="B4" s="14">
        <v>120.0</v>
      </c>
      <c r="D4" s="15" t="s">
        <v>15</v>
      </c>
      <c r="E4" s="16" t="s">
        <v>16</v>
      </c>
      <c r="F4" s="17">
        <v>92.0</v>
      </c>
      <c r="G4" s="16" t="s">
        <v>17</v>
      </c>
      <c r="I4" s="18">
        <f>SUM(F3:F1000) + (B3:B1000)</f>
        <v>1300</v>
      </c>
    </row>
    <row r="5" ht="22.5" customHeight="1">
      <c r="A5" s="13" t="s">
        <v>18</v>
      </c>
      <c r="B5" s="19">
        <v>120.0</v>
      </c>
      <c r="D5" s="15" t="s">
        <v>19</v>
      </c>
      <c r="E5" s="16" t="s">
        <v>16</v>
      </c>
      <c r="F5" s="17">
        <v>92.0</v>
      </c>
      <c r="G5" s="16" t="s">
        <v>20</v>
      </c>
    </row>
    <row r="6" ht="22.5" customHeight="1">
      <c r="A6" s="13" t="s">
        <v>21</v>
      </c>
      <c r="B6" s="19">
        <v>120.0</v>
      </c>
      <c r="D6" s="15" t="s">
        <v>22</v>
      </c>
      <c r="E6" s="16" t="s">
        <v>16</v>
      </c>
      <c r="F6" s="17">
        <v>92.0</v>
      </c>
      <c r="G6" s="16" t="s">
        <v>17</v>
      </c>
    </row>
    <row r="7" ht="22.5" customHeight="1">
      <c r="A7" s="13" t="s">
        <v>23</v>
      </c>
      <c r="B7" s="19">
        <v>120.0</v>
      </c>
      <c r="D7" s="15" t="s">
        <v>24</v>
      </c>
      <c r="E7" s="16" t="s">
        <v>16</v>
      </c>
      <c r="F7" s="17">
        <v>92.0</v>
      </c>
      <c r="G7" s="16" t="s">
        <v>17</v>
      </c>
    </row>
    <row r="8" ht="22.5" customHeight="1">
      <c r="A8" s="13" t="s">
        <v>25</v>
      </c>
      <c r="B8" s="19">
        <v>120.0</v>
      </c>
      <c r="D8" s="15" t="s">
        <v>26</v>
      </c>
      <c r="E8" s="20" t="s">
        <v>16</v>
      </c>
      <c r="F8" s="17">
        <v>92.0</v>
      </c>
      <c r="G8" s="20" t="s">
        <v>17</v>
      </c>
    </row>
    <row r="9" ht="22.5" customHeight="1">
      <c r="A9" s="13" t="s">
        <v>27</v>
      </c>
      <c r="B9" s="19">
        <v>120.0</v>
      </c>
      <c r="D9" s="15" t="s">
        <v>28</v>
      </c>
      <c r="E9" s="20" t="s">
        <v>16</v>
      </c>
      <c r="F9" s="17">
        <v>92.0</v>
      </c>
      <c r="G9" s="20" t="s">
        <v>17</v>
      </c>
    </row>
    <row r="10" ht="22.5" customHeight="1">
      <c r="A10" s="13" t="s">
        <v>29</v>
      </c>
      <c r="B10" s="19">
        <v>120.0</v>
      </c>
      <c r="D10" s="15" t="s">
        <v>30</v>
      </c>
      <c r="E10" s="20" t="s">
        <v>16</v>
      </c>
      <c r="F10" s="17">
        <v>92.0</v>
      </c>
      <c r="G10" s="20" t="s">
        <v>17</v>
      </c>
    </row>
    <row r="11" ht="22.5" customHeight="1">
      <c r="A11" s="13" t="s">
        <v>31</v>
      </c>
      <c r="B11" s="19">
        <v>120.0</v>
      </c>
      <c r="D11" s="15" t="s">
        <v>32</v>
      </c>
      <c r="E11" s="20" t="s">
        <v>16</v>
      </c>
      <c r="F11" s="17">
        <v>92.0</v>
      </c>
      <c r="G11" s="20" t="s">
        <v>17</v>
      </c>
    </row>
    <row r="12" ht="22.5" customHeight="1">
      <c r="A12" s="13" t="s">
        <v>33</v>
      </c>
      <c r="B12" s="19">
        <v>120.0</v>
      </c>
      <c r="D12" s="15" t="s">
        <v>34</v>
      </c>
      <c r="E12" s="20" t="s">
        <v>16</v>
      </c>
      <c r="F12" s="17">
        <v>92.0</v>
      </c>
      <c r="G12" s="20" t="s">
        <v>17</v>
      </c>
    </row>
    <row r="13" ht="22.5" customHeight="1">
      <c r="A13" s="13" t="s">
        <v>35</v>
      </c>
      <c r="B13" s="19">
        <v>120.0</v>
      </c>
      <c r="D13" s="15" t="s">
        <v>36</v>
      </c>
      <c r="E13" s="20" t="s">
        <v>16</v>
      </c>
      <c r="F13" s="17">
        <v>92.0</v>
      </c>
      <c r="G13" s="20" t="s">
        <v>17</v>
      </c>
    </row>
    <row r="14" ht="22.5" customHeight="1">
      <c r="A14" s="13" t="s">
        <v>37</v>
      </c>
      <c r="B14" s="19">
        <v>120.0</v>
      </c>
      <c r="D14" s="21" t="s">
        <v>15</v>
      </c>
      <c r="E14" s="20" t="s">
        <v>38</v>
      </c>
      <c r="F14" s="22">
        <v>130.0</v>
      </c>
      <c r="G14" s="20" t="s">
        <v>17</v>
      </c>
    </row>
    <row r="15" ht="22.5" customHeight="1">
      <c r="A15" s="13" t="s">
        <v>39</v>
      </c>
      <c r="B15" s="19">
        <v>120.0</v>
      </c>
      <c r="D15" s="23" t="s">
        <v>19</v>
      </c>
      <c r="E15" s="20" t="s">
        <v>38</v>
      </c>
      <c r="F15" s="22">
        <v>130.0</v>
      </c>
      <c r="G15" s="20" t="s">
        <v>17</v>
      </c>
    </row>
    <row r="16" ht="22.5" customHeight="1">
      <c r="A16" s="13" t="s">
        <v>14</v>
      </c>
      <c r="B16" s="19">
        <v>120.0</v>
      </c>
      <c r="E16" s="20"/>
      <c r="F16" s="22"/>
      <c r="G16" s="20"/>
    </row>
  </sheetData>
  <dataValidations>
    <dataValidation type="list" allowBlank="1" sqref="G4:G16">
      <formula1>"Acabou,Temos"</formula1>
    </dataValidation>
    <dataValidation type="custom" allowBlank="1" showDropDown="1" sqref="F4:F16 B4:B16">
      <formula1>AND(ISNUMBER(B4),(NOT(OR(NOT(ISERROR(DATEVALUE(B4))), AND(ISNUMBER(B4), LEFT(CELL("format", B4))="D")))))</formula1>
    </dataValidation>
    <dataValidation type="list" allowBlank="1" sqref="E4:E16">
      <formula1>"Voltz,National"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29"/>
    <col customWidth="1" min="3" max="3" width="19.86"/>
    <col customWidth="1" min="4" max="4" width="20.29"/>
    <col customWidth="1" min="5" max="5" width="24.86"/>
    <col customWidth="1" min="6" max="6" width="14.43"/>
    <col customWidth="1" min="7" max="7" width="19.14"/>
    <col customWidth="1" min="8" max="8" width="25.43"/>
    <col customWidth="1" min="9" max="9" width="23.71"/>
    <col customWidth="1" min="10" max="10" width="19.29"/>
  </cols>
  <sheetData>
    <row r="1" ht="22.5" customHeight="1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1</v>
      </c>
      <c r="G1" s="11" t="s">
        <v>45</v>
      </c>
      <c r="H1" s="11" t="s">
        <v>46</v>
      </c>
      <c r="I1" s="11" t="s">
        <v>47</v>
      </c>
      <c r="J1" s="24" t="s">
        <v>48</v>
      </c>
    </row>
    <row r="2" ht="22.5" customHeight="1">
      <c r="A2" s="13" t="s">
        <v>49</v>
      </c>
      <c r="B2" s="13">
        <v>4.0</v>
      </c>
      <c r="C2" s="17">
        <v>1.0</v>
      </c>
      <c r="D2" s="17">
        <v>12.0</v>
      </c>
      <c r="E2" s="25">
        <v>46139.0</v>
      </c>
      <c r="F2" s="13">
        <v>10.0</v>
      </c>
      <c r="G2" s="13">
        <v>0.0</v>
      </c>
      <c r="H2" s="26">
        <f t="shared" ref="H2:H22" si="1">F2 - G2</f>
        <v>10</v>
      </c>
      <c r="J2" s="27">
        <f t="shared" ref="J2:J21" si="2">(D2 - C2) * G2</f>
        <v>0</v>
      </c>
      <c r="L2" s="12" t="s">
        <v>1</v>
      </c>
    </row>
    <row r="3" ht="22.5" customHeight="1">
      <c r="A3" s="13" t="s">
        <v>50</v>
      </c>
      <c r="B3" s="13">
        <v>2.0</v>
      </c>
      <c r="C3" s="17">
        <v>3.5</v>
      </c>
      <c r="D3" s="17">
        <v>15.0</v>
      </c>
      <c r="E3" s="25">
        <v>46139.0</v>
      </c>
      <c r="F3" s="13">
        <v>5.0</v>
      </c>
      <c r="G3" s="13">
        <v>0.0</v>
      </c>
      <c r="H3" s="26">
        <f t="shared" si="1"/>
        <v>5</v>
      </c>
      <c r="J3" s="27">
        <f t="shared" si="2"/>
        <v>0</v>
      </c>
      <c r="L3" s="28">
        <f>SUM(J2:J996)</f>
        <v>306.4</v>
      </c>
    </row>
    <row r="4" ht="22.5" customHeight="1">
      <c r="A4" s="13" t="s">
        <v>51</v>
      </c>
      <c r="B4" s="13">
        <v>4.0</v>
      </c>
      <c r="C4" s="17">
        <v>1.0</v>
      </c>
      <c r="D4" s="17">
        <v>12.0</v>
      </c>
      <c r="E4" s="25"/>
      <c r="H4" s="26">
        <f t="shared" si="1"/>
        <v>0</v>
      </c>
      <c r="J4" s="27">
        <f t="shared" si="2"/>
        <v>0</v>
      </c>
    </row>
    <row r="5" ht="22.5" customHeight="1">
      <c r="A5" s="13" t="s">
        <v>52</v>
      </c>
      <c r="B5" s="13">
        <v>2.0</v>
      </c>
      <c r="C5" s="17">
        <v>3.5</v>
      </c>
      <c r="D5" s="17">
        <v>15.0</v>
      </c>
      <c r="E5" s="25">
        <v>46139.0</v>
      </c>
      <c r="F5" s="13">
        <v>4.0</v>
      </c>
      <c r="G5" s="13">
        <v>1.0</v>
      </c>
      <c r="H5" s="26">
        <f t="shared" si="1"/>
        <v>3</v>
      </c>
      <c r="J5" s="27">
        <f t="shared" si="2"/>
        <v>11.5</v>
      </c>
    </row>
    <row r="6" ht="22.5" customHeight="1">
      <c r="A6" s="13" t="s">
        <v>53</v>
      </c>
      <c r="B6" s="13">
        <v>4.0</v>
      </c>
      <c r="C6" s="17">
        <v>1.0</v>
      </c>
      <c r="D6" s="17">
        <v>12.0</v>
      </c>
      <c r="E6" s="25">
        <v>46139.0</v>
      </c>
      <c r="F6" s="13">
        <v>6.0</v>
      </c>
      <c r="G6" s="13">
        <v>2.0</v>
      </c>
      <c r="H6" s="26">
        <f t="shared" si="1"/>
        <v>4</v>
      </c>
      <c r="J6" s="27">
        <f t="shared" si="2"/>
        <v>22</v>
      </c>
    </row>
    <row r="7" ht="22.5" customHeight="1">
      <c r="A7" s="13" t="s">
        <v>54</v>
      </c>
      <c r="B7" s="13">
        <v>2.0</v>
      </c>
      <c r="C7" s="17">
        <v>3.5</v>
      </c>
      <c r="D7" s="17">
        <v>15.0</v>
      </c>
      <c r="E7" s="25">
        <v>46139.0</v>
      </c>
      <c r="F7" s="13">
        <v>5.0</v>
      </c>
      <c r="G7" s="13">
        <v>0.0</v>
      </c>
      <c r="H7" s="26">
        <f t="shared" si="1"/>
        <v>5</v>
      </c>
      <c r="J7" s="27">
        <f t="shared" si="2"/>
        <v>0</v>
      </c>
    </row>
    <row r="8" ht="22.5" customHeight="1">
      <c r="A8" s="13" t="s">
        <v>55</v>
      </c>
      <c r="B8" s="13">
        <v>4.0</v>
      </c>
      <c r="C8" s="17">
        <v>1.0</v>
      </c>
      <c r="D8" s="17">
        <v>12.0</v>
      </c>
      <c r="E8" s="25"/>
      <c r="H8" s="26">
        <f t="shared" si="1"/>
        <v>0</v>
      </c>
      <c r="J8" s="27">
        <f t="shared" si="2"/>
        <v>0</v>
      </c>
    </row>
    <row r="9" ht="22.5" customHeight="1">
      <c r="A9" s="13" t="s">
        <v>56</v>
      </c>
      <c r="B9" s="13">
        <v>2.0</v>
      </c>
      <c r="C9" s="17">
        <v>3.5</v>
      </c>
      <c r="D9" s="17">
        <v>15.0</v>
      </c>
      <c r="E9" s="25">
        <v>46139.0</v>
      </c>
      <c r="F9" s="13">
        <v>5.0</v>
      </c>
      <c r="G9" s="13">
        <v>1.0</v>
      </c>
      <c r="H9" s="26">
        <f t="shared" si="1"/>
        <v>4</v>
      </c>
      <c r="J9" s="27">
        <f t="shared" si="2"/>
        <v>11.5</v>
      </c>
    </row>
    <row r="10" ht="22.5" customHeight="1">
      <c r="A10" s="13" t="s">
        <v>57</v>
      </c>
      <c r="B10" s="13">
        <v>4.0</v>
      </c>
      <c r="C10" s="17">
        <v>1.0</v>
      </c>
      <c r="D10" s="17">
        <v>12.0</v>
      </c>
      <c r="E10" s="25"/>
      <c r="H10" s="26">
        <f t="shared" si="1"/>
        <v>0</v>
      </c>
      <c r="J10" s="27">
        <f t="shared" si="2"/>
        <v>0</v>
      </c>
    </row>
    <row r="11" ht="22.5" customHeight="1">
      <c r="A11" s="13" t="s">
        <v>58</v>
      </c>
      <c r="B11" s="13">
        <v>2.0</v>
      </c>
      <c r="C11" s="17">
        <v>3.5</v>
      </c>
      <c r="D11" s="17">
        <v>15.0</v>
      </c>
      <c r="E11" s="25">
        <v>46139.0</v>
      </c>
      <c r="F11" s="13">
        <v>5.0</v>
      </c>
      <c r="G11" s="13">
        <v>1.0</v>
      </c>
      <c r="H11" s="26">
        <f t="shared" si="1"/>
        <v>4</v>
      </c>
      <c r="J11" s="27">
        <f t="shared" si="2"/>
        <v>11.5</v>
      </c>
    </row>
    <row r="12" ht="22.5" customHeight="1">
      <c r="A12" s="13" t="s">
        <v>59</v>
      </c>
      <c r="B12" s="13">
        <v>4.0</v>
      </c>
      <c r="C12" s="17">
        <v>1.0</v>
      </c>
      <c r="D12" s="17">
        <v>12.0</v>
      </c>
      <c r="E12" s="25">
        <v>46139.0</v>
      </c>
      <c r="F12" s="13">
        <v>9.0</v>
      </c>
      <c r="G12" s="13">
        <v>2.0</v>
      </c>
      <c r="H12" s="26">
        <f t="shared" si="1"/>
        <v>7</v>
      </c>
      <c r="J12" s="27">
        <f t="shared" si="2"/>
        <v>22</v>
      </c>
    </row>
    <row r="13" ht="22.5" customHeight="1">
      <c r="A13" s="13" t="s">
        <v>60</v>
      </c>
      <c r="B13" s="13">
        <v>2.0</v>
      </c>
      <c r="C13" s="17">
        <v>3.5</v>
      </c>
      <c r="D13" s="17">
        <v>15.0</v>
      </c>
      <c r="E13" s="25">
        <v>46139.0</v>
      </c>
      <c r="F13" s="13">
        <v>5.0</v>
      </c>
      <c r="G13" s="13">
        <v>0.0</v>
      </c>
      <c r="H13" s="26">
        <f t="shared" si="1"/>
        <v>5</v>
      </c>
      <c r="J13" s="27">
        <f t="shared" si="2"/>
        <v>0</v>
      </c>
    </row>
    <row r="14" ht="22.5" customHeight="1">
      <c r="A14" s="13" t="s">
        <v>61</v>
      </c>
      <c r="B14" s="13">
        <v>4.0</v>
      </c>
      <c r="C14" s="17">
        <v>1.0</v>
      </c>
      <c r="D14" s="17">
        <v>12.0</v>
      </c>
      <c r="E14" s="25">
        <v>46139.0</v>
      </c>
      <c r="F14" s="13">
        <v>9.0</v>
      </c>
      <c r="G14" s="13">
        <v>1.0</v>
      </c>
      <c r="H14" s="26">
        <f t="shared" si="1"/>
        <v>8</v>
      </c>
      <c r="J14" s="27">
        <f t="shared" si="2"/>
        <v>11</v>
      </c>
    </row>
    <row r="15" ht="22.5" customHeight="1">
      <c r="A15" s="13" t="s">
        <v>62</v>
      </c>
      <c r="B15" s="13">
        <v>2.0</v>
      </c>
      <c r="C15" s="17">
        <v>3.5</v>
      </c>
      <c r="D15" s="17">
        <v>15.0</v>
      </c>
      <c r="E15" s="25">
        <v>46139.0</v>
      </c>
      <c r="F15" s="13">
        <v>5.0</v>
      </c>
      <c r="G15" s="13">
        <v>0.0</v>
      </c>
      <c r="H15" s="26">
        <f t="shared" si="1"/>
        <v>5</v>
      </c>
      <c r="J15" s="27">
        <f t="shared" si="2"/>
        <v>0</v>
      </c>
    </row>
    <row r="16" ht="22.5" customHeight="1">
      <c r="A16" s="13" t="s">
        <v>63</v>
      </c>
      <c r="B16" s="13">
        <v>4.0</v>
      </c>
      <c r="C16" s="17">
        <v>1.0</v>
      </c>
      <c r="D16" s="17">
        <v>12.0</v>
      </c>
      <c r="E16" s="25"/>
      <c r="H16" s="26">
        <f t="shared" si="1"/>
        <v>0</v>
      </c>
      <c r="J16" s="27">
        <f t="shared" si="2"/>
        <v>0</v>
      </c>
    </row>
    <row r="17" ht="22.5" customHeight="1">
      <c r="A17" s="13" t="s">
        <v>64</v>
      </c>
      <c r="B17" s="13">
        <v>2.0</v>
      </c>
      <c r="C17" s="17">
        <v>3.5</v>
      </c>
      <c r="D17" s="17">
        <v>15.0</v>
      </c>
      <c r="E17" s="25"/>
      <c r="H17" s="26">
        <f t="shared" si="1"/>
        <v>0</v>
      </c>
      <c r="J17" s="27">
        <f t="shared" si="2"/>
        <v>0</v>
      </c>
    </row>
    <row r="18" ht="22.5" customHeight="1">
      <c r="A18" s="13" t="s">
        <v>65</v>
      </c>
      <c r="B18" s="13">
        <v>4.0</v>
      </c>
      <c r="C18" s="17">
        <v>0.85</v>
      </c>
      <c r="D18" s="17">
        <v>12.0</v>
      </c>
      <c r="E18" s="25">
        <v>46139.0</v>
      </c>
      <c r="F18" s="13">
        <v>12.0</v>
      </c>
      <c r="G18" s="13">
        <v>8.0</v>
      </c>
      <c r="H18" s="26">
        <f t="shared" si="1"/>
        <v>4</v>
      </c>
      <c r="J18" s="27">
        <f t="shared" si="2"/>
        <v>89.2</v>
      </c>
    </row>
    <row r="19" ht="22.5" customHeight="1">
      <c r="A19" s="13" t="s">
        <v>66</v>
      </c>
      <c r="B19" s="13"/>
      <c r="C19" s="17">
        <v>1.0</v>
      </c>
      <c r="D19" s="17">
        <v>12.0</v>
      </c>
      <c r="E19" s="25">
        <v>46139.0</v>
      </c>
      <c r="F19" s="13">
        <v>10.0</v>
      </c>
      <c r="G19" s="13">
        <v>7.0</v>
      </c>
      <c r="H19" s="26">
        <f t="shared" si="1"/>
        <v>3</v>
      </c>
      <c r="J19" s="27">
        <f t="shared" si="2"/>
        <v>77</v>
      </c>
    </row>
    <row r="20" ht="22.5" customHeight="1">
      <c r="A20" s="13" t="s">
        <v>67</v>
      </c>
      <c r="B20" s="13"/>
      <c r="C20" s="17">
        <v>3.1</v>
      </c>
      <c r="D20" s="17">
        <v>20.0</v>
      </c>
      <c r="E20" s="25"/>
      <c r="F20" s="13">
        <v>3.0</v>
      </c>
      <c r="G20" s="13">
        <v>3.0</v>
      </c>
      <c r="H20" s="26">
        <f t="shared" si="1"/>
        <v>0</v>
      </c>
      <c r="J20" s="27">
        <f t="shared" si="2"/>
        <v>50.7</v>
      </c>
    </row>
    <row r="21" ht="22.5" customHeight="1">
      <c r="A21" s="13"/>
      <c r="B21" s="13"/>
      <c r="C21" s="17"/>
      <c r="D21" s="17"/>
      <c r="E21" s="25"/>
      <c r="F21" s="13"/>
      <c r="G21" s="13"/>
      <c r="H21" s="26">
        <f t="shared" si="1"/>
        <v>0</v>
      </c>
      <c r="J21" s="27">
        <f t="shared" si="2"/>
        <v>0</v>
      </c>
    </row>
    <row r="22" ht="22.5" customHeight="1">
      <c r="A22" s="29"/>
      <c r="B22" s="29"/>
      <c r="C22" s="22"/>
      <c r="D22" s="22"/>
      <c r="E22" s="30"/>
      <c r="F22" s="29"/>
      <c r="G22" s="29"/>
      <c r="H22" s="31">
        <f t="shared" si="1"/>
        <v>0</v>
      </c>
      <c r="I22" s="31"/>
    </row>
  </sheetData>
  <dataValidations>
    <dataValidation type="custom" allowBlank="1" showDropDown="1" sqref="C2:D2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0.29"/>
    <col customWidth="1" min="3" max="3" width="19.86"/>
    <col customWidth="1" min="4" max="4" width="20.29"/>
    <col customWidth="1" min="5" max="5" width="24.86"/>
    <col customWidth="1" min="6" max="6" width="14.43"/>
    <col customWidth="1" min="7" max="7" width="19.14"/>
    <col customWidth="1" min="8" max="8" width="25.43"/>
    <col customWidth="1" min="9" max="9" width="23.71"/>
    <col customWidth="1" min="10" max="10" width="19.29"/>
  </cols>
  <sheetData>
    <row r="1" ht="22.5" customHeight="1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1</v>
      </c>
      <c r="G1" s="11" t="s">
        <v>45</v>
      </c>
      <c r="H1" s="11" t="s">
        <v>46</v>
      </c>
      <c r="I1" s="11" t="s">
        <v>47</v>
      </c>
      <c r="J1" s="24" t="s">
        <v>48</v>
      </c>
    </row>
    <row r="2" ht="22.5" customHeight="1">
      <c r="A2" s="13" t="s">
        <v>68</v>
      </c>
      <c r="B2" s="13" t="s">
        <v>69</v>
      </c>
      <c r="C2" s="17">
        <v>4.0</v>
      </c>
      <c r="D2" s="17">
        <v>12.0</v>
      </c>
      <c r="E2" s="25">
        <v>46139.0</v>
      </c>
      <c r="F2" s="13">
        <v>49.0</v>
      </c>
      <c r="G2" s="13">
        <v>44.0</v>
      </c>
      <c r="H2" s="26">
        <f t="shared" ref="H2:H4" si="1">F2 - G2</f>
        <v>5</v>
      </c>
      <c r="J2" s="27">
        <f t="shared" ref="J2:J17" si="2">(D2 - C2) * G2</f>
        <v>352</v>
      </c>
      <c r="L2" s="12" t="s">
        <v>1</v>
      </c>
    </row>
    <row r="3" ht="22.5" customHeight="1">
      <c r="A3" s="13" t="s">
        <v>70</v>
      </c>
      <c r="B3" s="13">
        <v>4.0</v>
      </c>
      <c r="C3" s="17">
        <v>4.3</v>
      </c>
      <c r="D3" s="17">
        <v>15.0</v>
      </c>
      <c r="E3" s="25">
        <v>46139.0</v>
      </c>
      <c r="F3" s="13">
        <v>2.0</v>
      </c>
      <c r="H3" s="26">
        <f t="shared" si="1"/>
        <v>2</v>
      </c>
      <c r="J3" s="27">
        <f t="shared" si="2"/>
        <v>0</v>
      </c>
      <c r="L3" s="28">
        <f>SUM(J2:J996)</f>
        <v>666</v>
      </c>
    </row>
    <row r="4" ht="22.5" customHeight="1">
      <c r="A4" s="13" t="s">
        <v>71</v>
      </c>
      <c r="B4" s="13">
        <v>2.0</v>
      </c>
      <c r="C4" s="17">
        <v>4.3</v>
      </c>
      <c r="D4" s="17">
        <v>15.0</v>
      </c>
      <c r="E4" s="25">
        <v>46139.0</v>
      </c>
      <c r="F4" s="13">
        <v>1.0</v>
      </c>
      <c r="H4" s="26">
        <f t="shared" si="1"/>
        <v>1</v>
      </c>
      <c r="J4" s="27">
        <f t="shared" si="2"/>
        <v>0</v>
      </c>
    </row>
    <row r="5" ht="22.5" customHeight="1">
      <c r="A5" s="13" t="s">
        <v>72</v>
      </c>
      <c r="C5" s="17">
        <v>2.0</v>
      </c>
      <c r="D5" s="17">
        <v>15.0</v>
      </c>
      <c r="E5" s="25">
        <v>46139.0</v>
      </c>
      <c r="F5" s="13">
        <v>8.0</v>
      </c>
      <c r="G5" s="13">
        <v>3.0</v>
      </c>
      <c r="J5" s="27">
        <f t="shared" si="2"/>
        <v>39</v>
      </c>
    </row>
    <row r="6" ht="22.5" customHeight="1">
      <c r="A6" s="13" t="s">
        <v>73</v>
      </c>
      <c r="C6" s="17">
        <v>1.0</v>
      </c>
      <c r="D6" s="17">
        <v>12.0</v>
      </c>
      <c r="E6" s="25">
        <v>46139.0</v>
      </c>
      <c r="F6" s="13">
        <v>33.0</v>
      </c>
      <c r="G6" s="13">
        <v>25.0</v>
      </c>
      <c r="H6" s="26">
        <f t="shared" ref="H6:H7" si="3">F6 - G6</f>
        <v>8</v>
      </c>
      <c r="J6" s="27">
        <f t="shared" si="2"/>
        <v>275</v>
      </c>
    </row>
    <row r="7" ht="22.5" customHeight="1">
      <c r="C7" s="17"/>
      <c r="D7" s="17"/>
      <c r="E7" s="25">
        <v>46139.0</v>
      </c>
      <c r="H7" s="26">
        <f t="shared" si="3"/>
        <v>0</v>
      </c>
      <c r="J7" s="27">
        <f t="shared" si="2"/>
        <v>0</v>
      </c>
    </row>
    <row r="8" ht="22.5" customHeight="1">
      <c r="C8" s="17"/>
      <c r="D8" s="17"/>
      <c r="E8" s="25">
        <v>46139.0</v>
      </c>
      <c r="J8" s="27">
        <f t="shared" si="2"/>
        <v>0</v>
      </c>
    </row>
    <row r="9" ht="22.5" customHeight="1">
      <c r="C9" s="17"/>
      <c r="D9" s="17"/>
      <c r="E9" s="25">
        <v>46139.0</v>
      </c>
      <c r="H9" s="26">
        <f t="shared" ref="H9:H10" si="4">F9 - G9</f>
        <v>0</v>
      </c>
      <c r="J9" s="27">
        <f t="shared" si="2"/>
        <v>0</v>
      </c>
    </row>
    <row r="10" ht="22.5" customHeight="1">
      <c r="C10" s="17"/>
      <c r="D10" s="17"/>
      <c r="E10" s="25">
        <v>46139.0</v>
      </c>
      <c r="H10" s="26">
        <f t="shared" si="4"/>
        <v>0</v>
      </c>
      <c r="J10" s="27">
        <f t="shared" si="2"/>
        <v>0</v>
      </c>
    </row>
    <row r="11" ht="22.5" customHeight="1">
      <c r="C11" s="17"/>
      <c r="D11" s="17"/>
      <c r="E11" s="25">
        <v>46139.0</v>
      </c>
      <c r="J11" s="27">
        <f t="shared" si="2"/>
        <v>0</v>
      </c>
    </row>
    <row r="12" ht="22.5" customHeight="1">
      <c r="C12" s="17"/>
      <c r="D12" s="17"/>
      <c r="E12" s="25">
        <v>46139.0</v>
      </c>
      <c r="H12" s="26">
        <f t="shared" ref="H12:H13" si="5">F12 - G12</f>
        <v>0</v>
      </c>
      <c r="J12" s="27">
        <f t="shared" si="2"/>
        <v>0</v>
      </c>
    </row>
    <row r="13" ht="22.5" customHeight="1">
      <c r="C13" s="17"/>
      <c r="D13" s="17"/>
      <c r="E13" s="25">
        <v>46139.0</v>
      </c>
      <c r="H13" s="26">
        <f t="shared" si="5"/>
        <v>0</v>
      </c>
      <c r="J13" s="27">
        <f t="shared" si="2"/>
        <v>0</v>
      </c>
    </row>
    <row r="14" ht="22.5" customHeight="1">
      <c r="C14" s="17"/>
      <c r="D14" s="17"/>
      <c r="E14" s="25">
        <v>46139.0</v>
      </c>
      <c r="J14" s="27">
        <f t="shared" si="2"/>
        <v>0</v>
      </c>
    </row>
    <row r="15" ht="22.5" customHeight="1">
      <c r="C15" s="17"/>
      <c r="D15" s="17"/>
      <c r="E15" s="25">
        <v>46139.0</v>
      </c>
      <c r="H15" s="26">
        <f t="shared" ref="H15:H16" si="6">F15 - G15</f>
        <v>0</v>
      </c>
      <c r="J15" s="27">
        <f t="shared" si="2"/>
        <v>0</v>
      </c>
    </row>
    <row r="16" ht="22.5" customHeight="1">
      <c r="C16" s="17"/>
      <c r="D16" s="17"/>
      <c r="E16" s="25">
        <v>46139.0</v>
      </c>
      <c r="H16" s="26">
        <f t="shared" si="6"/>
        <v>0</v>
      </c>
      <c r="J16" s="27">
        <f t="shared" si="2"/>
        <v>0</v>
      </c>
    </row>
    <row r="17" ht="22.5" customHeight="1">
      <c r="C17" s="17"/>
      <c r="D17" s="17"/>
      <c r="E17" s="25">
        <v>46139.0</v>
      </c>
      <c r="J17" s="27">
        <f t="shared" si="2"/>
        <v>0</v>
      </c>
    </row>
  </sheetData>
  <dataValidations>
    <dataValidation type="custom" allowBlank="1" showDropDown="1" sqref="C2:D1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